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 data" sheetId="1" r:id="rId5"/>
    <sheet state="visible" name="Assumptions" sheetId="2" r:id="rId6"/>
    <sheet state="visible" name="calculations" sheetId="3" r:id="rId7"/>
    <sheet state="visible" name="Financial Plan" sheetId="4" r:id="rId8"/>
    <sheet state="visible" name="Graphs" sheetId="5" r:id="rId9"/>
  </sheets>
  <definedNames/>
  <calcPr/>
</workbook>
</file>

<file path=xl/sharedStrings.xml><?xml version="1.0" encoding="utf-8"?>
<sst xmlns="http://schemas.openxmlformats.org/spreadsheetml/2006/main" count="108" uniqueCount="90">
  <si>
    <t>DEMAND</t>
  </si>
  <si>
    <t>Year</t>
  </si>
  <si>
    <t>Total Ships</t>
  </si>
  <si>
    <t>Active Ships</t>
  </si>
  <si>
    <t>Capacity per Ship / Year</t>
  </si>
  <si>
    <t>Capacity per Ship</t>
  </si>
  <si>
    <t>Utilization %</t>
  </si>
  <si>
    <t>Total Containers</t>
  </si>
  <si>
    <t>Total Containers Handled</t>
  </si>
  <si>
    <t>Growth YoY</t>
  </si>
  <si>
    <t>Operational Assumptions</t>
  </si>
  <si>
    <t>Ships Forecast</t>
  </si>
  <si>
    <t>CONTAINER TYPE SEGMENTATION</t>
  </si>
  <si>
    <t>Dry Cargo (60%)</t>
  </si>
  <si>
    <t>Metric</t>
  </si>
  <si>
    <t>Refrigerated (25%)</t>
  </si>
  <si>
    <t>Liquid/Bulk (15%)</t>
  </si>
  <si>
    <t>Value</t>
  </si>
  <si>
    <t>SERVICE CATEGORY</t>
  </si>
  <si>
    <t>Economy(50%)</t>
  </si>
  <si>
    <t>Standard(35%)</t>
  </si>
  <si>
    <t>Premium(15%)</t>
  </si>
  <si>
    <t>Start Year</t>
  </si>
  <si>
    <t>Ships 2026 = Previous Year + Ships Added</t>
  </si>
  <si>
    <t>End Year</t>
  </si>
  <si>
    <t>Initial Ships (2025)</t>
  </si>
  <si>
    <t>Ships Added per Year</t>
  </si>
  <si>
    <t>Containers per Trip</t>
  </si>
  <si>
    <t>Containers = Ships × Capacity per Ship × Utilization</t>
  </si>
  <si>
    <t>Trips per Year</t>
  </si>
  <si>
    <t>CONTAINER SEGMENTATION</t>
  </si>
  <si>
    <t>Economy (50%)</t>
  </si>
  <si>
    <t>Standard (35%)</t>
  </si>
  <si>
    <t>Premium (15%)</t>
  </si>
  <si>
    <t>Utilization Rate</t>
  </si>
  <si>
    <t>Capacity per Ship per Year</t>
  </si>
  <si>
    <t>Tier-wise Containers</t>
  </si>
  <si>
    <t>Economy = Total × 50%</t>
  </si>
  <si>
    <t>REVENUE PROJECTIONS</t>
  </si>
  <si>
    <t>PER SHIP</t>
  </si>
  <si>
    <t>Container Segmentation</t>
  </si>
  <si>
    <t>Economy Revenue</t>
  </si>
  <si>
    <t>Standard Revenue</t>
  </si>
  <si>
    <t>Premium Revenue</t>
  </si>
  <si>
    <t>Standard = Total × 35%</t>
  </si>
  <si>
    <t>Segment</t>
  </si>
  <si>
    <t>% Split</t>
  </si>
  <si>
    <t>Dry Cargo</t>
  </si>
  <si>
    <t>Premium = Total × 15%</t>
  </si>
  <si>
    <t>Refrigerated</t>
  </si>
  <si>
    <t>Liquid/Bulk</t>
  </si>
  <si>
    <t>Freight Pricing (2025 Base)</t>
  </si>
  <si>
    <t>Price Forecast</t>
  </si>
  <si>
    <t>TOTAL</t>
  </si>
  <si>
    <t>Tier</t>
  </si>
  <si>
    <t>Price per Container</t>
  </si>
  <si>
    <t>Total Revenue</t>
  </si>
  <si>
    <t>Economy</t>
  </si>
  <si>
    <t>Apply 4% growth yearly:</t>
  </si>
  <si>
    <t>Standard</t>
  </si>
  <si>
    <t>Premium</t>
  </si>
  <si>
    <t>Price next year = Previous × (1 + Growth)</t>
  </si>
  <si>
    <t>Freight Price Growth</t>
  </si>
  <si>
    <t>Cost Assumptions</t>
  </si>
  <si>
    <t>Revenue</t>
  </si>
  <si>
    <t>Fuel per Ship (2025)</t>
  </si>
  <si>
    <t>14 Cr</t>
  </si>
  <si>
    <t>Revenue =</t>
  </si>
  <si>
    <t>Fuel Inflation</t>
  </si>
  <si>
    <t>Customs per Container (2025)</t>
  </si>
  <si>
    <t>EXPENSES</t>
  </si>
  <si>
    <t>(Eco Qty × Eco Price) +(Std Qty × Std Price) +(Prem Qty × Prem Price)</t>
  </si>
  <si>
    <t>Fuel Cost(per ship in cr)</t>
  </si>
  <si>
    <t>Customs Cost(per container)</t>
  </si>
  <si>
    <t>Total Fuel Cost(in cr)</t>
  </si>
  <si>
    <t>Total Customs Cost</t>
  </si>
  <si>
    <t>Total expenses</t>
  </si>
  <si>
    <t>Customs Inflation</t>
  </si>
  <si>
    <t>Fuel Cost</t>
  </si>
  <si>
    <t>Fuel per Ship grows 6% yearly.</t>
  </si>
  <si>
    <t>Total Fuel = Ships × Fuel per Ship</t>
  </si>
  <si>
    <t>Customs Cost</t>
  </si>
  <si>
    <t xml:space="preserve">NET PROFIT </t>
  </si>
  <si>
    <t>Total Expense</t>
  </si>
  <si>
    <t>Net Profit</t>
  </si>
  <si>
    <t>Profit %</t>
  </si>
  <si>
    <t>Customs grows 5% yearly.</t>
  </si>
  <si>
    <t>Total Customs = Containers × Customs per Container</t>
  </si>
  <si>
    <t>Total Cost</t>
  </si>
  <si>
    <t>Total Cost = Fuel + Customs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</si>
</sst>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/>
    </xf>
    <xf borderId="0" fillId="0" fontId="2" numFmtId="3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2" numFmtId="9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3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0" fontId="2" numFmtId="2" xfId="0" applyAlignment="1" applyFont="1" applyNumberFormat="1">
      <alignment readingOrder="0"/>
    </xf>
    <xf borderId="0" fillId="0" fontId="2" numFmtId="2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Growth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'Financial Plan'!$E$26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'Financial Plan'!$A$27:$A$31</c:f>
            </c:strRef>
          </c:cat>
          <c:val>
            <c:numRef>
              <c:f>'Financial Plan'!$E$27:$E$31</c:f>
              <c:numCache/>
            </c:numRef>
          </c:val>
        </c:ser>
        <c:axId val="1294344205"/>
        <c:axId val="417890527"/>
      </c:barChart>
      <c:catAx>
        <c:axId val="1294344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7890527"/>
      </c:catAx>
      <c:valAx>
        <c:axId val="4178905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43442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Growth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'Financial Plan'!$D$42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'Financial Plan'!$A$43:$A$47</c:f>
            </c:strRef>
          </c:cat>
          <c:val>
            <c:numRef>
              <c:f>'Financial Plan'!$D$43:$D$47</c:f>
              <c:numCache/>
            </c:numRef>
          </c:val>
        </c:ser>
        <c:axId val="1481114929"/>
        <c:axId val="1418642592"/>
      </c:barChart>
      <c:catAx>
        <c:axId val="14811149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8642592"/>
      </c:catAx>
      <c:valAx>
        <c:axId val="14186425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11149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1</xdr:row>
      <xdr:rowOff>161925</xdr:rowOff>
    </xdr:from>
    <xdr:ext cx="4286250" cy="31623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104775</xdr:colOff>
      <xdr:row>1</xdr:row>
      <xdr:rowOff>161925</xdr:rowOff>
    </xdr:from>
    <xdr:ext cx="4171950" cy="31623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20.0"/>
    <col customWidth="1" min="4" max="4" width="15.75"/>
    <col customWidth="1" min="5" max="5" width="21.0"/>
  </cols>
  <sheetData>
    <row r="2">
      <c r="A2" s="2" t="s">
        <v>0</v>
      </c>
    </row>
    <row r="3">
      <c r="A3" s="3" t="s">
        <v>1</v>
      </c>
      <c r="B3" s="3" t="s">
        <v>3</v>
      </c>
      <c r="C3" s="3" t="s">
        <v>4</v>
      </c>
      <c r="D3" s="3" t="s">
        <v>6</v>
      </c>
      <c r="E3" s="3" t="s">
        <v>8</v>
      </c>
    </row>
    <row r="4">
      <c r="A4" s="2">
        <v>2025.0</v>
      </c>
      <c r="B4" s="2">
        <v>20.0</v>
      </c>
      <c r="C4" s="4">
        <v>32000.0</v>
      </c>
      <c r="D4" s="6">
        <v>0.75</v>
      </c>
      <c r="E4" s="4">
        <v>480000.0</v>
      </c>
    </row>
    <row r="5">
      <c r="A5" s="2">
        <v>2026.0</v>
      </c>
      <c r="B5" s="2">
        <v>24.0</v>
      </c>
      <c r="C5" s="4">
        <v>32000.0</v>
      </c>
      <c r="D5" s="6">
        <v>0.75</v>
      </c>
      <c r="E5" s="4">
        <v>576000.0</v>
      </c>
    </row>
    <row r="8">
      <c r="A8" s="2" t="s">
        <v>12</v>
      </c>
    </row>
    <row r="9">
      <c r="A9" s="3" t="s">
        <v>1</v>
      </c>
      <c r="B9" s="3" t="s">
        <v>7</v>
      </c>
      <c r="C9" s="3" t="s">
        <v>13</v>
      </c>
      <c r="D9" s="3" t="s">
        <v>15</v>
      </c>
      <c r="E9" s="3" t="s">
        <v>16</v>
      </c>
    </row>
    <row r="10">
      <c r="A10" s="2">
        <v>2025.0</v>
      </c>
      <c r="B10" s="4">
        <v>480000.0</v>
      </c>
      <c r="C10" s="4">
        <v>288000.0</v>
      </c>
      <c r="D10" s="4">
        <v>120000.0</v>
      </c>
      <c r="E10" s="4">
        <v>72000.0</v>
      </c>
    </row>
    <row r="11">
      <c r="A11" s="2">
        <v>2026.0</v>
      </c>
      <c r="B11" s="4">
        <v>576000.0</v>
      </c>
      <c r="C11" s="4">
        <v>345600.0</v>
      </c>
      <c r="D11" s="4">
        <v>144000.0</v>
      </c>
      <c r="E11" s="4">
        <v>86400.0</v>
      </c>
    </row>
    <row r="14">
      <c r="A14" s="2" t="s">
        <v>18</v>
      </c>
    </row>
    <row r="15">
      <c r="A15" s="3" t="s">
        <v>1</v>
      </c>
      <c r="B15" s="3" t="s">
        <v>19</v>
      </c>
      <c r="C15" s="3" t="s">
        <v>20</v>
      </c>
      <c r="D15" s="3" t="s">
        <v>21</v>
      </c>
      <c r="E15" s="10"/>
    </row>
    <row r="16">
      <c r="A16" s="2">
        <v>2025.0</v>
      </c>
      <c r="B16" s="4">
        <v>240000.0</v>
      </c>
      <c r="C16" s="4">
        <v>168000.0</v>
      </c>
      <c r="D16" s="4">
        <v>72000.0</v>
      </c>
    </row>
    <row r="17">
      <c r="A17" s="2">
        <v>2026.0</v>
      </c>
      <c r="B17" s="4">
        <v>288000.0</v>
      </c>
      <c r="C17" s="4">
        <v>201600.0</v>
      </c>
      <c r="D17" s="4">
        <v>86400.0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15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5" t="s">
        <v>10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8" t="s">
        <v>14</v>
      </c>
      <c r="B3" s="8" t="s">
        <v>17</v>
      </c>
      <c r="C3" s="9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1" t="s">
        <v>22</v>
      </c>
      <c r="B4" s="11">
        <v>2025.0</v>
      </c>
      <c r="C4" s="1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1" t="s">
        <v>24</v>
      </c>
      <c r="B5" s="11">
        <v>2029.0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1" t="s">
        <v>25</v>
      </c>
      <c r="B6" s="11">
        <v>20.0</v>
      </c>
      <c r="C6" s="1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 t="s">
        <v>26</v>
      </c>
      <c r="B7" s="11">
        <v>4.0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1" t="s">
        <v>27</v>
      </c>
      <c r="B8" s="13">
        <v>4000.0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1" t="s">
        <v>29</v>
      </c>
      <c r="B9" s="11">
        <v>8.0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1" t="s">
        <v>34</v>
      </c>
      <c r="B10" s="14">
        <v>0.75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1" t="s">
        <v>35</v>
      </c>
      <c r="B11" s="1">
        <f>4000*8</f>
        <v>32000</v>
      </c>
      <c r="C11" s="1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" t="s">
        <v>40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" t="s">
        <v>45</v>
      </c>
      <c r="B14" s="8" t="s">
        <v>46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1" t="s">
        <v>47</v>
      </c>
      <c r="B15" s="14">
        <v>0.6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1" t="s">
        <v>49</v>
      </c>
      <c r="B16" s="14">
        <v>0.25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1" t="s">
        <v>50</v>
      </c>
      <c r="B17" s="14">
        <v>0.15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" t="s">
        <v>51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8" t="s">
        <v>54</v>
      </c>
      <c r="B20" s="8" t="s">
        <v>55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1" t="s">
        <v>57</v>
      </c>
      <c r="B21" s="13">
        <v>45000.0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1" t="s">
        <v>59</v>
      </c>
      <c r="B22" s="13">
        <v>65000.0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1" t="s">
        <v>60</v>
      </c>
      <c r="B23" s="13">
        <v>95000.0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1" t="s">
        <v>62</v>
      </c>
      <c r="B24" s="14">
        <v>0.04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5" t="s">
        <v>63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8" t="s">
        <v>14</v>
      </c>
      <c r="B27" s="8" t="s">
        <v>17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1" t="s">
        <v>65</v>
      </c>
      <c r="B28" s="11" t="s">
        <v>66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1" t="s">
        <v>68</v>
      </c>
      <c r="B29" s="14">
        <v>0.06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1" t="s">
        <v>69</v>
      </c>
      <c r="B30" s="13">
        <v>9000.0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1" t="s">
        <v>77</v>
      </c>
      <c r="B31" s="14">
        <v>0.05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2:B2"/>
    <mergeCell ref="A13:B13"/>
    <mergeCell ref="A19:B19"/>
    <mergeCell ref="A26:B2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7" t="s">
        <v>11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1" t="s">
        <v>23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7" t="s">
        <v>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1" t="s">
        <v>28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7" t="s">
        <v>36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1" t="s">
        <v>37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1" t="s">
        <v>44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1" t="s">
        <v>48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7" t="s">
        <v>52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1" t="s">
        <v>58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1" t="s">
        <v>61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7" t="s">
        <v>64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1" t="s">
        <v>67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1" t="s">
        <v>71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7" t="s">
        <v>78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1" t="s">
        <v>79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1" t="s">
        <v>80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7" t="s">
        <v>81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1" t="s">
        <v>86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1" t="s">
        <v>87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7" t="s">
        <v>88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1" t="s">
        <v>89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20.13"/>
    <col customWidth="1" min="3" max="3" width="24.0"/>
    <col customWidth="1" min="4" max="4" width="17.5"/>
    <col customWidth="1" min="5" max="5" width="16.63"/>
    <col customWidth="1" min="6" max="6" width="14.63"/>
  </cols>
  <sheetData>
    <row r="1">
      <c r="A1" s="2" t="s">
        <v>0</v>
      </c>
    </row>
    <row r="2">
      <c r="A2" s="3" t="s">
        <v>1</v>
      </c>
      <c r="B2" s="3" t="s">
        <v>2</v>
      </c>
      <c r="C2" s="3" t="s">
        <v>5</v>
      </c>
      <c r="D2" s="3" t="s">
        <v>6</v>
      </c>
      <c r="E2" s="3" t="s">
        <v>7</v>
      </c>
      <c r="F2" s="3" t="s">
        <v>9</v>
      </c>
    </row>
    <row r="3">
      <c r="A3" s="2">
        <v>2025.0</v>
      </c>
      <c r="B3" s="2">
        <v>20.0</v>
      </c>
      <c r="C3" s="4">
        <v>32000.0</v>
      </c>
      <c r="D3" s="6">
        <v>0.75</v>
      </c>
      <c r="E3" s="12">
        <f t="shared" ref="E3:E7" si="1">B3*C3*D3</f>
        <v>480000</v>
      </c>
      <c r="F3" s="2">
        <v>0.0</v>
      </c>
    </row>
    <row r="4">
      <c r="A4" s="2">
        <v>2026.0</v>
      </c>
      <c r="B4" s="12">
        <f t="shared" ref="B4:B7" si="2">B3+4</f>
        <v>24</v>
      </c>
      <c r="C4" s="4">
        <v>32000.0</v>
      </c>
      <c r="D4" s="6">
        <v>0.75</v>
      </c>
      <c r="E4" s="12">
        <f t="shared" si="1"/>
        <v>576000</v>
      </c>
      <c r="F4" s="12">
        <f t="shared" ref="F4:F7" si="3">E4-E3</f>
        <v>96000</v>
      </c>
    </row>
    <row r="5">
      <c r="A5" s="2">
        <v>2027.0</v>
      </c>
      <c r="B5" s="12">
        <f t="shared" si="2"/>
        <v>28</v>
      </c>
      <c r="C5" s="4">
        <v>32000.0</v>
      </c>
      <c r="D5" s="6">
        <v>0.75</v>
      </c>
      <c r="E5" s="12">
        <f t="shared" si="1"/>
        <v>672000</v>
      </c>
      <c r="F5" s="12">
        <f t="shared" si="3"/>
        <v>96000</v>
      </c>
    </row>
    <row r="6">
      <c r="A6" s="2">
        <v>2028.0</v>
      </c>
      <c r="B6" s="12">
        <f t="shared" si="2"/>
        <v>32</v>
      </c>
      <c r="C6" s="4">
        <v>32000.0</v>
      </c>
      <c r="D6" s="6">
        <v>0.75</v>
      </c>
      <c r="E6" s="12">
        <f t="shared" si="1"/>
        <v>768000</v>
      </c>
      <c r="F6" s="12">
        <f t="shared" si="3"/>
        <v>96000</v>
      </c>
    </row>
    <row r="7">
      <c r="A7" s="2">
        <v>2029.0</v>
      </c>
      <c r="B7" s="12">
        <f t="shared" si="2"/>
        <v>36</v>
      </c>
      <c r="C7" s="4">
        <v>32000.0</v>
      </c>
      <c r="D7" s="6">
        <v>0.75</v>
      </c>
      <c r="E7" s="12">
        <f t="shared" si="1"/>
        <v>864000</v>
      </c>
      <c r="F7" s="12">
        <f t="shared" si="3"/>
        <v>96000</v>
      </c>
    </row>
    <row r="9">
      <c r="A9" s="2" t="s">
        <v>30</v>
      </c>
    </row>
    <row r="10">
      <c r="A10" s="3" t="s">
        <v>1</v>
      </c>
      <c r="B10" s="3" t="s">
        <v>31</v>
      </c>
      <c r="C10" s="3" t="s">
        <v>32</v>
      </c>
      <c r="D10" s="3" t="s">
        <v>33</v>
      </c>
    </row>
    <row r="11">
      <c r="A11" s="2">
        <v>2025.0</v>
      </c>
      <c r="B11" s="12">
        <f t="shared" ref="B11:B15" si="4">E3*50%</f>
        <v>240000</v>
      </c>
      <c r="C11" s="12">
        <f t="shared" ref="C11:C15" si="5">E3*35%</f>
        <v>168000</v>
      </c>
      <c r="D11" s="12">
        <f t="shared" ref="D11:D15" si="6">E3*15%</f>
        <v>72000</v>
      </c>
    </row>
    <row r="12">
      <c r="A12" s="2">
        <v>2026.0</v>
      </c>
      <c r="B12" s="12">
        <f t="shared" si="4"/>
        <v>288000</v>
      </c>
      <c r="C12" s="12">
        <f t="shared" si="5"/>
        <v>201600</v>
      </c>
      <c r="D12" s="12">
        <f t="shared" si="6"/>
        <v>86400</v>
      </c>
    </row>
    <row r="13">
      <c r="A13" s="2">
        <v>2027.0</v>
      </c>
      <c r="B13" s="12">
        <f t="shared" si="4"/>
        <v>336000</v>
      </c>
      <c r="C13" s="12">
        <f t="shared" si="5"/>
        <v>235200</v>
      </c>
      <c r="D13" s="12">
        <f t="shared" si="6"/>
        <v>100800</v>
      </c>
    </row>
    <row r="14">
      <c r="A14" s="2">
        <v>2028.0</v>
      </c>
      <c r="B14" s="12">
        <f t="shared" si="4"/>
        <v>384000</v>
      </c>
      <c r="C14" s="12">
        <f t="shared" si="5"/>
        <v>268800</v>
      </c>
      <c r="D14" s="12">
        <f t="shared" si="6"/>
        <v>115200</v>
      </c>
    </row>
    <row r="15">
      <c r="A15" s="2">
        <v>2029.0</v>
      </c>
      <c r="B15" s="12">
        <f t="shared" si="4"/>
        <v>432000</v>
      </c>
      <c r="C15" s="12">
        <f t="shared" si="5"/>
        <v>302400</v>
      </c>
      <c r="D15" s="12">
        <f t="shared" si="6"/>
        <v>129600</v>
      </c>
    </row>
    <row r="17">
      <c r="A17" s="2" t="s">
        <v>38</v>
      </c>
    </row>
    <row r="18">
      <c r="A18" s="2" t="s">
        <v>39</v>
      </c>
    </row>
    <row r="19">
      <c r="A19" s="3" t="s">
        <v>1</v>
      </c>
      <c r="B19" s="3" t="s">
        <v>41</v>
      </c>
      <c r="C19" s="3" t="s">
        <v>42</v>
      </c>
      <c r="D19" s="3" t="s">
        <v>43</v>
      </c>
      <c r="E19" s="15"/>
    </row>
    <row r="20">
      <c r="A20" s="2">
        <v>2025.0</v>
      </c>
      <c r="B20" s="16">
        <v>45000.0</v>
      </c>
      <c r="C20" s="16">
        <v>65000.0</v>
      </c>
      <c r="D20" s="16">
        <v>95000.0</v>
      </c>
    </row>
    <row r="21">
      <c r="A21" s="2">
        <v>2026.0</v>
      </c>
      <c r="B21" s="17">
        <f t="shared" ref="B21:D21" si="7">B20*1.04</f>
        <v>46800</v>
      </c>
      <c r="C21" s="17">
        <f t="shared" si="7"/>
        <v>67600</v>
      </c>
      <c r="D21" s="17">
        <f t="shared" si="7"/>
        <v>98800</v>
      </c>
    </row>
    <row r="22">
      <c r="A22" s="2">
        <v>2027.0</v>
      </c>
      <c r="B22" s="17">
        <f t="shared" ref="B22:D22" si="8">B21*1.04</f>
        <v>48672</v>
      </c>
      <c r="C22" s="17">
        <f t="shared" si="8"/>
        <v>70304</v>
      </c>
      <c r="D22" s="17">
        <f t="shared" si="8"/>
        <v>102752</v>
      </c>
    </row>
    <row r="23">
      <c r="A23" s="2">
        <v>2028.0</v>
      </c>
      <c r="B23" s="12">
        <f t="shared" ref="B23:D23" si="9">B22*1.04</f>
        <v>50618.88</v>
      </c>
      <c r="C23" s="12">
        <f t="shared" si="9"/>
        <v>73116.16</v>
      </c>
      <c r="D23" s="12">
        <f t="shared" si="9"/>
        <v>106862.08</v>
      </c>
    </row>
    <row r="24">
      <c r="A24" s="2">
        <v>2029.0</v>
      </c>
      <c r="B24" s="17">
        <f t="shared" ref="B24:D24" si="10">B23*1.04</f>
        <v>52643.6352</v>
      </c>
      <c r="C24" s="17">
        <f t="shared" si="10"/>
        <v>76040.8064</v>
      </c>
      <c r="D24" s="17">
        <f t="shared" si="10"/>
        <v>111136.5632</v>
      </c>
    </row>
    <row r="25">
      <c r="A25" s="2" t="s">
        <v>53</v>
      </c>
    </row>
    <row r="26">
      <c r="A26" s="3" t="s">
        <v>1</v>
      </c>
      <c r="B26" s="3" t="s">
        <v>41</v>
      </c>
      <c r="C26" s="3" t="s">
        <v>42</v>
      </c>
      <c r="D26" s="3" t="s">
        <v>43</v>
      </c>
      <c r="E26" s="3" t="s">
        <v>56</v>
      </c>
    </row>
    <row r="27">
      <c r="A27" s="2">
        <v>2025.0</v>
      </c>
      <c r="B27" s="12">
        <f t="shared" ref="B27:D27" si="11">B11*B20</f>
        <v>10800000000</v>
      </c>
      <c r="C27" s="12">
        <f t="shared" si="11"/>
        <v>10920000000</v>
      </c>
      <c r="D27" s="12">
        <f t="shared" si="11"/>
        <v>6840000000</v>
      </c>
      <c r="E27" s="12">
        <f t="shared" ref="E27:E31" si="13">SUM(B27:D27)</f>
        <v>28560000000</v>
      </c>
    </row>
    <row r="28">
      <c r="A28" s="2">
        <v>2026.0</v>
      </c>
      <c r="B28" s="12">
        <f t="shared" ref="B28:D28" si="12">B12*B21</f>
        <v>13478400000</v>
      </c>
      <c r="C28" s="12">
        <f t="shared" si="12"/>
        <v>13628160000</v>
      </c>
      <c r="D28" s="12">
        <f t="shared" si="12"/>
        <v>8536320000</v>
      </c>
      <c r="E28" s="12">
        <f t="shared" si="13"/>
        <v>35642880000</v>
      </c>
    </row>
    <row r="29">
      <c r="A29" s="2">
        <v>2027.0</v>
      </c>
      <c r="B29" s="12">
        <f t="shared" ref="B29:D29" si="14">B13*B22</f>
        <v>16353792000</v>
      </c>
      <c r="C29" s="12">
        <f t="shared" si="14"/>
        <v>16535500800</v>
      </c>
      <c r="D29" s="12">
        <f t="shared" si="14"/>
        <v>10357401600</v>
      </c>
      <c r="E29" s="12">
        <f t="shared" si="13"/>
        <v>43246694400</v>
      </c>
    </row>
    <row r="30">
      <c r="A30" s="2">
        <v>2028.0</v>
      </c>
      <c r="B30" s="12">
        <f t="shared" ref="B30:D30" si="15">B14*B23</f>
        <v>19437649920</v>
      </c>
      <c r="C30" s="12">
        <f t="shared" si="15"/>
        <v>19653623808</v>
      </c>
      <c r="D30" s="12">
        <f t="shared" si="15"/>
        <v>12310511616</v>
      </c>
      <c r="E30" s="12">
        <f t="shared" si="13"/>
        <v>51401785344</v>
      </c>
    </row>
    <row r="31">
      <c r="A31" s="2">
        <v>2029.0</v>
      </c>
      <c r="B31" s="12">
        <f t="shared" ref="B31:D31" si="16">B15*B24</f>
        <v>22742050406</v>
      </c>
      <c r="C31" s="12">
        <f t="shared" si="16"/>
        <v>22994739855</v>
      </c>
      <c r="D31" s="12">
        <f t="shared" si="16"/>
        <v>14403298591</v>
      </c>
      <c r="E31" s="12">
        <f t="shared" si="13"/>
        <v>60140088852</v>
      </c>
    </row>
    <row r="33">
      <c r="A33" s="2" t="s">
        <v>70</v>
      </c>
    </row>
    <row r="34">
      <c r="A34" s="3" t="s">
        <v>1</v>
      </c>
      <c r="B34" s="3" t="s">
        <v>72</v>
      </c>
      <c r="C34" s="3" t="s">
        <v>73</v>
      </c>
      <c r="D34" s="3" t="s">
        <v>74</v>
      </c>
      <c r="E34" s="3" t="s">
        <v>75</v>
      </c>
      <c r="F34" s="3" t="s">
        <v>76</v>
      </c>
    </row>
    <row r="35">
      <c r="A35" s="2">
        <v>2025.0</v>
      </c>
      <c r="B35" s="16">
        <v>14.0</v>
      </c>
      <c r="C35" s="2">
        <v>9000.0</v>
      </c>
      <c r="D35" s="17">
        <f t="shared" ref="D35:D39" si="17">B3*B35</f>
        <v>280</v>
      </c>
      <c r="E35" s="12">
        <f t="shared" ref="E35:E39" si="18">E3*C35</f>
        <v>4320000000</v>
      </c>
      <c r="F35" s="12">
        <f t="shared" ref="F35:F39" si="19">E35+(D35*10000000)</f>
        <v>7120000000</v>
      </c>
    </row>
    <row r="36">
      <c r="A36" s="2">
        <v>2026.0</v>
      </c>
      <c r="B36" s="12">
        <f t="shared" ref="B36:B39" si="20">B35*1.06</f>
        <v>14.84</v>
      </c>
      <c r="C36" s="12">
        <f t="shared" ref="C36:C39" si="21">C35*1.05</f>
        <v>9450</v>
      </c>
      <c r="D36" s="12">
        <f t="shared" si="17"/>
        <v>356.16</v>
      </c>
      <c r="E36" s="12">
        <f t="shared" si="18"/>
        <v>5443200000</v>
      </c>
      <c r="F36" s="12">
        <f t="shared" si="19"/>
        <v>9004800000</v>
      </c>
    </row>
    <row r="37">
      <c r="A37" s="2">
        <v>2027.0</v>
      </c>
      <c r="B37" s="17">
        <f t="shared" si="20"/>
        <v>15.7304</v>
      </c>
      <c r="C37" s="12">
        <f t="shared" si="21"/>
        <v>9922.5</v>
      </c>
      <c r="D37" s="17">
        <f t="shared" si="17"/>
        <v>440.4512</v>
      </c>
      <c r="E37" s="12">
        <f t="shared" si="18"/>
        <v>6667920000</v>
      </c>
      <c r="F37" s="12">
        <f t="shared" si="19"/>
        <v>11072432000</v>
      </c>
    </row>
    <row r="38">
      <c r="A38" s="2">
        <v>2028.0</v>
      </c>
      <c r="B38" s="17">
        <f t="shared" si="20"/>
        <v>16.674224</v>
      </c>
      <c r="C38" s="12">
        <f t="shared" si="21"/>
        <v>10418.625</v>
      </c>
      <c r="D38" s="17">
        <f t="shared" si="17"/>
        <v>533.575168</v>
      </c>
      <c r="E38" s="12">
        <f t="shared" si="18"/>
        <v>8001504000</v>
      </c>
      <c r="F38" s="12">
        <f t="shared" si="19"/>
        <v>13337255680</v>
      </c>
    </row>
    <row r="39">
      <c r="A39" s="2">
        <v>2029.0</v>
      </c>
      <c r="B39" s="17">
        <f t="shared" si="20"/>
        <v>17.67467744</v>
      </c>
      <c r="C39" s="12">
        <f t="shared" si="21"/>
        <v>10939.55625</v>
      </c>
      <c r="D39" s="17">
        <f t="shared" si="17"/>
        <v>636.2883878</v>
      </c>
      <c r="E39" s="12">
        <f t="shared" si="18"/>
        <v>9451776600</v>
      </c>
      <c r="F39" s="12">
        <f t="shared" si="19"/>
        <v>15814660478</v>
      </c>
    </row>
    <row r="41">
      <c r="A41" s="2" t="s">
        <v>82</v>
      </c>
    </row>
    <row r="42">
      <c r="A42" s="3" t="s">
        <v>1</v>
      </c>
      <c r="B42" s="3" t="s">
        <v>56</v>
      </c>
      <c r="C42" s="3" t="s">
        <v>83</v>
      </c>
      <c r="D42" s="3" t="s">
        <v>84</v>
      </c>
      <c r="E42" s="3" t="s">
        <v>85</v>
      </c>
      <c r="F42" s="15"/>
    </row>
    <row r="43">
      <c r="A43" s="2">
        <v>2025.0</v>
      </c>
      <c r="B43" s="12">
        <f t="shared" ref="B43:B47" si="22">E27</f>
        <v>28560000000</v>
      </c>
      <c r="C43" s="12">
        <f t="shared" ref="C43:C47" si="23">F35</f>
        <v>7120000000</v>
      </c>
      <c r="D43" s="18">
        <f t="shared" ref="D43:D47" si="24">B43-C43</f>
        <v>21440000000</v>
      </c>
      <c r="E43" s="17">
        <f t="shared" ref="E43:E47" si="25">(D43/C43)*100</f>
        <v>301.1235955</v>
      </c>
    </row>
    <row r="44">
      <c r="A44" s="2">
        <v>2026.0</v>
      </c>
      <c r="B44" s="12">
        <f t="shared" si="22"/>
        <v>35642880000</v>
      </c>
      <c r="C44" s="12">
        <f t="shared" si="23"/>
        <v>9004800000</v>
      </c>
      <c r="D44" s="18">
        <f t="shared" si="24"/>
        <v>26638080000</v>
      </c>
      <c r="E44" s="17">
        <f t="shared" si="25"/>
        <v>295.8208955</v>
      </c>
    </row>
    <row r="45">
      <c r="A45" s="2">
        <v>2027.0</v>
      </c>
      <c r="B45" s="12">
        <f t="shared" si="22"/>
        <v>43246694400</v>
      </c>
      <c r="C45" s="12">
        <f t="shared" si="23"/>
        <v>11072432000</v>
      </c>
      <c r="D45" s="18">
        <f t="shared" si="24"/>
        <v>32174262400</v>
      </c>
      <c r="E45" s="17">
        <f t="shared" si="25"/>
        <v>290.5799051</v>
      </c>
    </row>
    <row r="46">
      <c r="A46" s="2">
        <v>2028.0</v>
      </c>
      <c r="B46" s="12">
        <f t="shared" si="22"/>
        <v>51401785344</v>
      </c>
      <c r="C46" s="12">
        <f t="shared" si="23"/>
        <v>13337255680</v>
      </c>
      <c r="D46" s="18">
        <f t="shared" si="24"/>
        <v>38064529664</v>
      </c>
      <c r="E46" s="17">
        <f t="shared" si="25"/>
        <v>285.4000146</v>
      </c>
    </row>
    <row r="47">
      <c r="A47" s="2">
        <v>2029.0</v>
      </c>
      <c r="B47" s="12">
        <f t="shared" si="22"/>
        <v>60140088852</v>
      </c>
      <c r="C47" s="12">
        <f t="shared" si="23"/>
        <v>15814660478</v>
      </c>
      <c r="D47" s="18">
        <f t="shared" si="24"/>
        <v>44325428374</v>
      </c>
      <c r="E47" s="17">
        <f t="shared" si="25"/>
        <v>280.2806196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